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harunsai\"/>
    </mc:Choice>
  </mc:AlternateContent>
  <xr:revisionPtr revIDLastSave="0" documentId="8_{8A65534B-F985-4150-9734-AF313C477814}" xr6:coauthVersionLast="47" xr6:coauthVersionMax="47" xr10:uidLastSave="{00000000-0000-0000-0000-000000000000}"/>
  <bookViews>
    <workbookView xWindow="-120" yWindow="-120" windowWidth="29040" windowHeight="15720" xr2:uid="{D874DE6F-FD1B-48C5-8CD2-593C1E99B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1" l="1"/>
  <c r="G24" i="1"/>
  <c r="H24" i="1"/>
  <c r="E24" i="1"/>
  <c r="F23" i="1"/>
  <c r="G23" i="1"/>
  <c r="H23" i="1"/>
  <c r="E23" i="1"/>
  <c r="F22" i="1"/>
  <c r="G22" i="1"/>
  <c r="H22" i="1"/>
  <c r="E22" i="1"/>
  <c r="F21" i="1"/>
  <c r="G21" i="1"/>
  <c r="H21" i="1"/>
  <c r="E21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20" i="1"/>
  <c r="G20" i="1"/>
  <c r="H20" i="1"/>
  <c r="E20" i="1"/>
  <c r="H19" i="1"/>
  <c r="H18" i="1"/>
  <c r="H17" i="1"/>
  <c r="F19" i="1"/>
  <c r="G19" i="1"/>
  <c r="E19" i="1"/>
  <c r="F18" i="1"/>
  <c r="G18" i="1"/>
  <c r="E18" i="1"/>
  <c r="F17" i="1"/>
  <c r="G17" i="1"/>
  <c r="E17" i="1"/>
</calcChain>
</file>

<file path=xl/sharedStrings.xml><?xml version="1.0" encoding="utf-8"?>
<sst xmlns="http://schemas.openxmlformats.org/spreadsheetml/2006/main" count="101" uniqueCount="99">
  <si>
    <t>Student ID</t>
  </si>
  <si>
    <t>First Name</t>
  </si>
  <si>
    <t>Last Name</t>
  </si>
  <si>
    <t>Math Score</t>
  </si>
  <si>
    <t>Science Score</t>
  </si>
  <si>
    <t>English Score</t>
  </si>
  <si>
    <t>Attendance Rate (%)</t>
  </si>
  <si>
    <t>STU001</t>
  </si>
  <si>
    <t>Liam</t>
  </si>
  <si>
    <t>Smith</t>
  </si>
  <si>
    <t>STU002</t>
  </si>
  <si>
    <t>Olivia</t>
  </si>
  <si>
    <t>Johnson</t>
  </si>
  <si>
    <t>STU003</t>
  </si>
  <si>
    <t>Noah</t>
  </si>
  <si>
    <t>Williams</t>
  </si>
  <si>
    <t>STU004</t>
  </si>
  <si>
    <t>Emma</t>
  </si>
  <si>
    <t>Brown</t>
  </si>
  <si>
    <t>STU005</t>
  </si>
  <si>
    <t>Oliver</t>
  </si>
  <si>
    <t>Jones</t>
  </si>
  <si>
    <t>STU006</t>
  </si>
  <si>
    <t>Ava</t>
  </si>
  <si>
    <t>Garcia</t>
  </si>
  <si>
    <t>STU007</t>
  </si>
  <si>
    <t>Elijah</t>
  </si>
  <si>
    <t>Miller</t>
  </si>
  <si>
    <t>STU008</t>
  </si>
  <si>
    <t>Sophia</t>
  </si>
  <si>
    <t>Davis</t>
  </si>
  <si>
    <t>STU009</t>
  </si>
  <si>
    <t>James</t>
  </si>
  <si>
    <t>Rodriguez</t>
  </si>
  <si>
    <t>STU010</t>
  </si>
  <si>
    <t>Isabella</t>
  </si>
  <si>
    <t>Martinez</t>
  </si>
  <si>
    <t>STU011</t>
  </si>
  <si>
    <t>Benjamin</t>
  </si>
  <si>
    <t>Hernandez</t>
  </si>
  <si>
    <t>STU012</t>
  </si>
  <si>
    <t>Mia</t>
  </si>
  <si>
    <t>Lopez</t>
  </si>
  <si>
    <t>STU013</t>
  </si>
  <si>
    <t>Lucas</t>
  </si>
  <si>
    <t>Gonzalez</t>
  </si>
  <si>
    <t>STU014</t>
  </si>
  <si>
    <t>Charlotte</t>
  </si>
  <si>
    <t>Wilson</t>
  </si>
  <si>
    <t>STU015</t>
  </si>
  <si>
    <t>Mason</t>
  </si>
  <si>
    <t>Anderson</t>
  </si>
  <si>
    <t>total</t>
  </si>
  <si>
    <t>mean</t>
  </si>
  <si>
    <t>median</t>
  </si>
  <si>
    <t>mode</t>
  </si>
  <si>
    <t>range</t>
  </si>
  <si>
    <t>varience</t>
  </si>
  <si>
    <t>std. deviation</t>
  </si>
  <si>
    <t>correlation</t>
  </si>
  <si>
    <t>Total Marks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</si>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</sst>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0" xfId="0" applyFont="1"/>
    <xf numFmtId="0" fontId="1" fillId="0" borderId="0" xfId="0" applyFont="1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Attendance Rate (%)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val>
            <c:numRef>
              <c:f>Sheet1!$H$2:$H$16</c:f>
              <c:numCache>
                <c:formatCode>General</c:formatCode>
                <c:ptCount val="15"/>
                <c:pt idx="0">
                  <c:v>95</c:v>
                </c:pt>
                <c:pt idx="1">
                  <c:v>92</c:v>
                </c:pt>
                <c:pt idx="2">
                  <c:v>98</c:v>
                </c:pt>
                <c:pt idx="3">
                  <c:v>84</c:v>
                </c:pt>
                <c:pt idx="4">
                  <c:v>91</c:v>
                </c:pt>
                <c:pt idx="5">
                  <c:v>99</c:v>
                </c:pt>
                <c:pt idx="6">
                  <c:v>78</c:v>
                </c:pt>
                <c:pt idx="7">
                  <c:v>93</c:v>
                </c:pt>
                <c:pt idx="8">
                  <c:v>96</c:v>
                </c:pt>
                <c:pt idx="9">
                  <c:v>97</c:v>
                </c:pt>
                <c:pt idx="10">
                  <c:v>88</c:v>
                </c:pt>
                <c:pt idx="11">
                  <c:v>90</c:v>
                </c:pt>
                <c:pt idx="12">
                  <c:v>94</c:v>
                </c:pt>
                <c:pt idx="13">
                  <c:v>93</c:v>
                </c:pt>
                <c:pt idx="1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0-43D6-92D0-1C962D95C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45120352"/>
        <c:axId val="1919162608"/>
        <c:axId val="225844640"/>
      </c:bar3DChart>
      <c:catAx>
        <c:axId val="14512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62608"/>
        <c:crosses val="autoZero"/>
        <c:auto val="1"/>
        <c:lblAlgn val="ctr"/>
        <c:lblOffset val="100"/>
        <c:noMultiLvlLbl val="0"/>
      </c:catAx>
      <c:valAx>
        <c:axId val="191916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20352"/>
        <c:crosses val="autoZero"/>
        <c:crossBetween val="between"/>
      </c:valAx>
      <c:serAx>
        <c:axId val="225844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9162608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 Marks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val>
            <c:numRef>
              <c:f>Sheet1!$D$2:$D$16</c:f>
              <c:numCache>
                <c:formatCode>General</c:formatCode>
                <c:ptCount val="15"/>
                <c:pt idx="0">
                  <c:v>265</c:v>
                </c:pt>
                <c:pt idx="1">
                  <c:v>250</c:v>
                </c:pt>
                <c:pt idx="2">
                  <c:v>272</c:v>
                </c:pt>
                <c:pt idx="3">
                  <c:v>210</c:v>
                </c:pt>
                <c:pt idx="4">
                  <c:v>243</c:v>
                </c:pt>
                <c:pt idx="5">
                  <c:v>280</c:v>
                </c:pt>
                <c:pt idx="6">
                  <c:v>182</c:v>
                </c:pt>
                <c:pt idx="7">
                  <c:v>247</c:v>
                </c:pt>
                <c:pt idx="8">
                  <c:v>253</c:v>
                </c:pt>
                <c:pt idx="9">
                  <c:v>277</c:v>
                </c:pt>
                <c:pt idx="10">
                  <c:v>213</c:v>
                </c:pt>
                <c:pt idx="11">
                  <c:v>234</c:v>
                </c:pt>
                <c:pt idx="12">
                  <c:v>265</c:v>
                </c:pt>
                <c:pt idx="13">
                  <c:v>256</c:v>
                </c:pt>
                <c:pt idx="14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D-430A-8192-5768022DB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5119872"/>
        <c:axId val="145117952"/>
        <c:axId val="0"/>
      </c:bar3DChart>
      <c:catAx>
        <c:axId val="14511987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7952"/>
        <c:crosses val="autoZero"/>
        <c:auto val="1"/>
        <c:lblAlgn val="ctr"/>
        <c:lblOffset val="100"/>
        <c:noMultiLvlLbl val="0"/>
      </c:catAx>
      <c:valAx>
        <c:axId val="14511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Math 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Sheet1!$E$2:$E$16</c:f>
              <c:numCache>
                <c:formatCode>General</c:formatCode>
                <c:ptCount val="15"/>
                <c:pt idx="0">
                  <c:v>88</c:v>
                </c:pt>
                <c:pt idx="1">
                  <c:v>74</c:v>
                </c:pt>
                <c:pt idx="2">
                  <c:v>95</c:v>
                </c:pt>
                <c:pt idx="3">
                  <c:v>62</c:v>
                </c:pt>
                <c:pt idx="4">
                  <c:v>81</c:v>
                </c:pt>
                <c:pt idx="5">
                  <c:v>90</c:v>
                </c:pt>
                <c:pt idx="6">
                  <c:v>55</c:v>
                </c:pt>
                <c:pt idx="7">
                  <c:v>79</c:v>
                </c:pt>
                <c:pt idx="8">
                  <c:v>85</c:v>
                </c:pt>
                <c:pt idx="9">
                  <c:v>92</c:v>
                </c:pt>
                <c:pt idx="10">
                  <c:v>68</c:v>
                </c:pt>
                <c:pt idx="11">
                  <c:v>73</c:v>
                </c:pt>
                <c:pt idx="12">
                  <c:v>91</c:v>
                </c:pt>
                <c:pt idx="13">
                  <c:v>84</c:v>
                </c:pt>
                <c:pt idx="14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1-4D2F-A7D6-79AE33412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0</xdr:rowOff>
    </xdr:from>
    <xdr:to>
      <xdr:col>14</xdr:col>
      <xdr:colOff>228600</xdr:colOff>
      <xdr:row>11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FF137-BA65-59CE-9FD9-9FC08B7D7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11</xdr:row>
      <xdr:rowOff>119062</xdr:rowOff>
    </xdr:from>
    <xdr:to>
      <xdr:col>14</xdr:col>
      <xdr:colOff>228600</xdr:colOff>
      <xdr:row>24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DDE8D9-691C-48C6-D2F1-2F3C2771F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238125</xdr:colOff>
      <xdr:row>0</xdr:row>
      <xdr:rowOff>0</xdr:rowOff>
    </xdr:from>
    <xdr:to>
      <xdr:col>21</xdr:col>
      <xdr:colOff>542925</xdr:colOff>
      <xdr:row>11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96F5C4-2D77-1379-26A2-34AA92166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3223-6EFB-4193-9C41-E4C4E8C8D005}">
  <dimension ref="A1:P43"/>
  <sheetViews>
    <sheetView tabSelected="1" workbookViewId="0">
      <selection activeCell="R35" sqref="R35"/>
    </sheetView>
  </sheetViews>
  <sheetFormatPr defaultRowHeight="15" x14ac:dyDescent="0.25"/>
  <cols>
    <col min="1" max="1" width="14.5703125" customWidth="1"/>
    <col min="2" max="3" width="13.7109375" customWidth="1"/>
    <col min="4" max="4" width="15.5703125" customWidth="1"/>
    <col min="5" max="5" width="14.5703125" customWidth="1"/>
    <col min="6" max="6" width="16.85546875" customWidth="1"/>
    <col min="7" max="7" width="16.5703125" customWidth="1"/>
    <col min="8" max="8" width="24.7109375" customWidth="1"/>
    <col min="9" max="9" width="19.7109375" customWidth="1"/>
  </cols>
  <sheetData>
    <row r="1" spans="1:9" ht="30.75" thickBot="1" x14ac:dyDescent="0.3">
      <c r="A1" s="1" t="s">
        <v>0</v>
      </c>
      <c r="B1" s="1" t="s">
        <v>1</v>
      </c>
      <c r="C1" s="1" t="s">
        <v>2</v>
      </c>
      <c r="D1" s="1" t="s">
        <v>60</v>
      </c>
      <c r="E1" s="1" t="s">
        <v>3</v>
      </c>
      <c r="F1" s="1" t="s">
        <v>4</v>
      </c>
      <c r="G1" s="1" t="s">
        <v>5</v>
      </c>
      <c r="H1" s="1" t="s">
        <v>6</v>
      </c>
      <c r="I1" s="1"/>
    </row>
    <row r="2" spans="1:9" ht="17.25" customHeight="1" thickBot="1" x14ac:dyDescent="0.3">
      <c r="A2" s="2" t="s">
        <v>7</v>
      </c>
      <c r="B2" s="2" t="s">
        <v>8</v>
      </c>
      <c r="C2" s="2" t="s">
        <v>9</v>
      </c>
      <c r="D2" s="2">
        <f>SUM(E2:G2)</f>
        <v>265</v>
      </c>
      <c r="E2" s="2">
        <v>88</v>
      </c>
      <c r="F2" s="2">
        <v>92</v>
      </c>
      <c r="G2" s="2">
        <v>85</v>
      </c>
      <c r="H2" s="2">
        <v>95</v>
      </c>
      <c r="I2" s="2"/>
    </row>
    <row r="3" spans="1:9" ht="19.5" customHeight="1" thickBot="1" x14ac:dyDescent="0.3">
      <c r="A3" s="2" t="s">
        <v>10</v>
      </c>
      <c r="B3" s="2" t="s">
        <v>11</v>
      </c>
      <c r="C3" s="2" t="s">
        <v>12</v>
      </c>
      <c r="D3" s="2">
        <f t="shared" ref="D3:D16" si="0">SUM(E3:G3)</f>
        <v>250</v>
      </c>
      <c r="E3" s="2">
        <v>74</v>
      </c>
      <c r="F3" s="2">
        <v>85</v>
      </c>
      <c r="G3" s="2">
        <v>91</v>
      </c>
      <c r="H3" s="2">
        <v>92</v>
      </c>
      <c r="I3" s="2"/>
    </row>
    <row r="4" spans="1:9" ht="18.75" customHeight="1" thickBot="1" x14ac:dyDescent="0.3">
      <c r="A4" s="2" t="s">
        <v>13</v>
      </c>
      <c r="B4" s="2" t="s">
        <v>14</v>
      </c>
      <c r="C4" s="2" t="s">
        <v>15</v>
      </c>
      <c r="D4" s="2">
        <f t="shared" si="0"/>
        <v>272</v>
      </c>
      <c r="E4" s="2">
        <v>95</v>
      </c>
      <c r="F4" s="2">
        <v>89</v>
      </c>
      <c r="G4" s="2">
        <v>88</v>
      </c>
      <c r="H4" s="2">
        <v>98</v>
      </c>
      <c r="I4" s="2"/>
    </row>
    <row r="5" spans="1:9" ht="15.75" thickBot="1" x14ac:dyDescent="0.3">
      <c r="A5" s="2" t="s">
        <v>16</v>
      </c>
      <c r="B5" s="2" t="s">
        <v>17</v>
      </c>
      <c r="C5" s="2" t="s">
        <v>18</v>
      </c>
      <c r="D5" s="2">
        <f t="shared" si="0"/>
        <v>210</v>
      </c>
      <c r="E5" s="2">
        <v>62</v>
      </c>
      <c r="F5" s="2">
        <v>70</v>
      </c>
      <c r="G5" s="2">
        <v>78</v>
      </c>
      <c r="H5" s="2">
        <v>84</v>
      </c>
      <c r="I5" s="2"/>
    </row>
    <row r="6" spans="1:9" ht="15.75" thickBot="1" x14ac:dyDescent="0.3">
      <c r="A6" s="2" t="s">
        <v>19</v>
      </c>
      <c r="B6" s="2" t="s">
        <v>20</v>
      </c>
      <c r="C6" s="2" t="s">
        <v>21</v>
      </c>
      <c r="D6" s="2">
        <f t="shared" si="0"/>
        <v>243</v>
      </c>
      <c r="E6" s="2">
        <v>81</v>
      </c>
      <c r="F6" s="2">
        <v>79</v>
      </c>
      <c r="G6" s="2">
        <v>83</v>
      </c>
      <c r="H6" s="2">
        <v>91</v>
      </c>
      <c r="I6" s="2"/>
    </row>
    <row r="7" spans="1:9" ht="18" customHeight="1" thickBot="1" x14ac:dyDescent="0.3">
      <c r="A7" s="2" t="s">
        <v>22</v>
      </c>
      <c r="B7" s="2" t="s">
        <v>23</v>
      </c>
      <c r="C7" s="2" t="s">
        <v>24</v>
      </c>
      <c r="D7" s="2">
        <f t="shared" si="0"/>
        <v>280</v>
      </c>
      <c r="E7" s="2">
        <v>90</v>
      </c>
      <c r="F7" s="2">
        <v>94</v>
      </c>
      <c r="G7" s="2">
        <v>96</v>
      </c>
      <c r="H7" s="2">
        <v>99</v>
      </c>
      <c r="I7" s="2"/>
    </row>
    <row r="8" spans="1:9" ht="15.75" thickBot="1" x14ac:dyDescent="0.3">
      <c r="A8" s="2" t="s">
        <v>25</v>
      </c>
      <c r="B8" s="2" t="s">
        <v>26</v>
      </c>
      <c r="C8" s="2" t="s">
        <v>27</v>
      </c>
      <c r="D8" s="2">
        <f t="shared" si="0"/>
        <v>182</v>
      </c>
      <c r="E8" s="2">
        <v>55</v>
      </c>
      <c r="F8" s="2">
        <v>62</v>
      </c>
      <c r="G8" s="2">
        <v>65</v>
      </c>
      <c r="H8" s="2">
        <v>78</v>
      </c>
      <c r="I8" s="2"/>
    </row>
    <row r="9" spans="1:9" ht="17.25" customHeight="1" thickBot="1" x14ac:dyDescent="0.3">
      <c r="A9" s="2" t="s">
        <v>28</v>
      </c>
      <c r="B9" s="2" t="s">
        <v>29</v>
      </c>
      <c r="C9" s="2" t="s">
        <v>30</v>
      </c>
      <c r="D9" s="2">
        <f t="shared" si="0"/>
        <v>247</v>
      </c>
      <c r="E9" s="2">
        <v>79</v>
      </c>
      <c r="F9" s="2">
        <v>81</v>
      </c>
      <c r="G9" s="2">
        <v>87</v>
      </c>
      <c r="H9" s="2">
        <v>93</v>
      </c>
      <c r="I9" s="2"/>
    </row>
    <row r="10" spans="1:9" ht="20.25" customHeight="1" thickBot="1" x14ac:dyDescent="0.3">
      <c r="A10" s="2" t="s">
        <v>31</v>
      </c>
      <c r="B10" s="2" t="s">
        <v>32</v>
      </c>
      <c r="C10" s="2" t="s">
        <v>33</v>
      </c>
      <c r="D10" s="2">
        <f t="shared" si="0"/>
        <v>253</v>
      </c>
      <c r="E10" s="2">
        <v>85</v>
      </c>
      <c r="F10" s="2">
        <v>88</v>
      </c>
      <c r="G10" s="2">
        <v>80</v>
      </c>
      <c r="H10" s="2">
        <v>96</v>
      </c>
      <c r="I10" s="2"/>
    </row>
    <row r="11" spans="1:9" ht="18.75" customHeight="1" thickBot="1" x14ac:dyDescent="0.3">
      <c r="A11" s="2" t="s">
        <v>34</v>
      </c>
      <c r="B11" s="2" t="s">
        <v>35</v>
      </c>
      <c r="C11" s="2" t="s">
        <v>36</v>
      </c>
      <c r="D11" s="2">
        <f t="shared" si="0"/>
        <v>277</v>
      </c>
      <c r="E11" s="2">
        <v>92</v>
      </c>
      <c r="F11" s="2">
        <v>90</v>
      </c>
      <c r="G11" s="2">
        <v>95</v>
      </c>
      <c r="H11" s="2">
        <v>97</v>
      </c>
      <c r="I11" s="2"/>
    </row>
    <row r="12" spans="1:9" ht="19.5" customHeight="1" thickBot="1" x14ac:dyDescent="0.3">
      <c r="A12" s="2" t="s">
        <v>37</v>
      </c>
      <c r="B12" s="2" t="s">
        <v>38</v>
      </c>
      <c r="C12" s="2" t="s">
        <v>39</v>
      </c>
      <c r="D12" s="2">
        <f t="shared" si="0"/>
        <v>213</v>
      </c>
      <c r="E12" s="2">
        <v>68</v>
      </c>
      <c r="F12" s="2">
        <v>74</v>
      </c>
      <c r="G12" s="2">
        <v>71</v>
      </c>
      <c r="H12" s="2">
        <v>88</v>
      </c>
      <c r="I12" s="2"/>
    </row>
    <row r="13" spans="1:9" ht="15.75" thickBot="1" x14ac:dyDescent="0.3">
      <c r="A13" s="2" t="s">
        <v>40</v>
      </c>
      <c r="B13" s="2" t="s">
        <v>41</v>
      </c>
      <c r="C13" s="2" t="s">
        <v>42</v>
      </c>
      <c r="D13" s="2">
        <f t="shared" si="0"/>
        <v>234</v>
      </c>
      <c r="E13" s="2">
        <v>73</v>
      </c>
      <c r="F13" s="2">
        <v>77</v>
      </c>
      <c r="G13" s="2">
        <v>84</v>
      </c>
      <c r="H13" s="2">
        <v>90</v>
      </c>
      <c r="I13" s="2"/>
    </row>
    <row r="14" spans="1:9" ht="18.75" customHeight="1" thickBot="1" x14ac:dyDescent="0.3">
      <c r="A14" s="2" t="s">
        <v>43</v>
      </c>
      <c r="B14" s="2" t="s">
        <v>44</v>
      </c>
      <c r="C14" s="2" t="s">
        <v>45</v>
      </c>
      <c r="D14" s="2">
        <f t="shared" si="0"/>
        <v>265</v>
      </c>
      <c r="E14" s="2">
        <v>91</v>
      </c>
      <c r="F14" s="2">
        <v>85</v>
      </c>
      <c r="G14" s="2">
        <v>89</v>
      </c>
      <c r="H14" s="2">
        <v>94</v>
      </c>
      <c r="I14" s="2"/>
    </row>
    <row r="15" spans="1:9" ht="18.75" customHeight="1" thickBot="1" x14ac:dyDescent="0.3">
      <c r="A15" s="2" t="s">
        <v>46</v>
      </c>
      <c r="B15" s="2" t="s">
        <v>47</v>
      </c>
      <c r="C15" s="2" t="s">
        <v>48</v>
      </c>
      <c r="D15" s="2">
        <f t="shared" si="0"/>
        <v>256</v>
      </c>
      <c r="E15" s="2">
        <v>84</v>
      </c>
      <c r="F15" s="2">
        <v>82</v>
      </c>
      <c r="G15" s="2">
        <v>90</v>
      </c>
      <c r="H15" s="2">
        <v>93</v>
      </c>
      <c r="I15" s="2"/>
    </row>
    <row r="16" spans="1:9" ht="18.75" customHeight="1" thickBot="1" x14ac:dyDescent="0.3">
      <c r="A16" s="2" t="s">
        <v>49</v>
      </c>
      <c r="B16" s="2" t="s">
        <v>50</v>
      </c>
      <c r="C16" s="2" t="s">
        <v>51</v>
      </c>
      <c r="D16" s="2">
        <f t="shared" si="0"/>
        <v>232</v>
      </c>
      <c r="E16" s="2">
        <v>77</v>
      </c>
      <c r="F16" s="2">
        <v>80</v>
      </c>
      <c r="G16" s="2">
        <v>75</v>
      </c>
      <c r="H16" s="2">
        <v>89</v>
      </c>
      <c r="I16" s="2"/>
    </row>
    <row r="17" spans="4:9" x14ac:dyDescent="0.25">
      <c r="D17" s="3" t="s">
        <v>52</v>
      </c>
      <c r="E17">
        <f>SUM(E2:E16)</f>
        <v>1194</v>
      </c>
      <c r="F17">
        <f t="shared" ref="F17:H17" si="1">SUM(F2:F16)</f>
        <v>1228</v>
      </c>
      <c r="G17">
        <f t="shared" si="1"/>
        <v>1257</v>
      </c>
      <c r="H17">
        <f t="shared" si="1"/>
        <v>1377</v>
      </c>
    </row>
    <row r="18" spans="4:9" x14ac:dyDescent="0.25">
      <c r="D18" s="3" t="s">
        <v>53</v>
      </c>
      <c r="E18">
        <f>AVERAGE(E2:E16)</f>
        <v>79.599999999999994</v>
      </c>
      <c r="F18">
        <f t="shared" ref="F18:H18" si="2">AVERAGE(F2:F16)</f>
        <v>81.86666666666666</v>
      </c>
      <c r="G18">
        <f t="shared" si="2"/>
        <v>83.8</v>
      </c>
      <c r="H18">
        <f t="shared" si="2"/>
        <v>91.8</v>
      </c>
    </row>
    <row r="19" spans="4:9" x14ac:dyDescent="0.25">
      <c r="D19" s="3" t="s">
        <v>54</v>
      </c>
      <c r="E19">
        <f>MEDIAN(E2:E16)</f>
        <v>81</v>
      </c>
      <c r="F19">
        <f t="shared" ref="F19:H19" si="3">MEDIAN(F2:F16)</f>
        <v>82</v>
      </c>
      <c r="G19">
        <f t="shared" si="3"/>
        <v>85</v>
      </c>
      <c r="H19">
        <f t="shared" si="3"/>
        <v>93</v>
      </c>
    </row>
    <row r="20" spans="4:9" x14ac:dyDescent="0.25">
      <c r="D20" s="3" t="s">
        <v>55</v>
      </c>
      <c r="E20" t="e">
        <f>_xlfn.MODE.SNGL(E2:E16)</f>
        <v>#N/A</v>
      </c>
      <c r="F20">
        <f t="shared" ref="F20:H20" si="4">_xlfn.MODE.SNGL(F2:F16)</f>
        <v>85</v>
      </c>
      <c r="G20" t="e">
        <f t="shared" si="4"/>
        <v>#N/A</v>
      </c>
      <c r="H20">
        <f t="shared" si="4"/>
        <v>93</v>
      </c>
    </row>
    <row r="21" spans="4:9" x14ac:dyDescent="0.25">
      <c r="D21" s="4" t="s">
        <v>56</v>
      </c>
      <c r="E21">
        <f>MAX(E2:E16) - MIN(E2:E16)</f>
        <v>40</v>
      </c>
      <c r="F21">
        <f t="shared" ref="F21:H21" si="5">MAX(F2:F16) - MIN(F2:F16)</f>
        <v>32</v>
      </c>
      <c r="G21">
        <f t="shared" si="5"/>
        <v>31</v>
      </c>
      <c r="H21">
        <f t="shared" si="5"/>
        <v>21</v>
      </c>
    </row>
    <row r="22" spans="4:9" x14ac:dyDescent="0.25">
      <c r="D22" s="4" t="s">
        <v>57</v>
      </c>
      <c r="E22">
        <f>_xlfn.VAR.S(E2:E16)</f>
        <v>134.4000000000004</v>
      </c>
      <c r="F22">
        <f t="shared" ref="F22:H22" si="6">_xlfn.VAR.S(F2:F16)</f>
        <v>75.552380952381228</v>
      </c>
      <c r="G22">
        <f t="shared" si="6"/>
        <v>76.028571428571013</v>
      </c>
      <c r="H22">
        <f t="shared" si="6"/>
        <v>30.742857142857144</v>
      </c>
    </row>
    <row r="23" spans="4:9" x14ac:dyDescent="0.25">
      <c r="D23" s="4" t="s">
        <v>58</v>
      </c>
      <c r="E23">
        <f>_xlfn.STDEV.S(E2:E16)</f>
        <v>11.593101396951567</v>
      </c>
      <c r="F23">
        <f t="shared" ref="F23:H23" si="7">_xlfn.STDEV.S(F2:F16)</f>
        <v>8.6920872609736968</v>
      </c>
      <c r="G23">
        <f t="shared" si="7"/>
        <v>8.7194364169119911</v>
      </c>
      <c r="H23">
        <f t="shared" si="7"/>
        <v>5.5446241660600535</v>
      </c>
    </row>
    <row r="24" spans="4:9" ht="15.75" thickBot="1" x14ac:dyDescent="0.3">
      <c r="D24" s="4" t="s">
        <v>59</v>
      </c>
      <c r="E24">
        <f>CORREL(E2:E16, E2:E16)</f>
        <v>0.99999999999999989</v>
      </c>
      <c r="F24">
        <f t="shared" ref="F24:H24" si="8">CORREL(F2:F16, F2:F16)</f>
        <v>1.0000000000000002</v>
      </c>
      <c r="G24">
        <f t="shared" si="8"/>
        <v>1</v>
      </c>
      <c r="H24">
        <f t="shared" si="8"/>
        <v>0.99999999999999989</v>
      </c>
    </row>
    <row r="25" spans="4:9" x14ac:dyDescent="0.25">
      <c r="E25" s="8" t="s">
        <v>61</v>
      </c>
      <c r="F25" s="8"/>
    </row>
    <row r="26" spans="4:9" x14ac:dyDescent="0.25">
      <c r="E26" s="5"/>
      <c r="F26" s="5"/>
      <c r="H26" t="s">
        <v>75</v>
      </c>
    </row>
    <row r="27" spans="4:9" ht="15.75" thickBot="1" x14ac:dyDescent="0.3">
      <c r="E27" s="5" t="s">
        <v>62</v>
      </c>
      <c r="F27" s="5">
        <v>245.26666666666668</v>
      </c>
    </row>
    <row r="28" spans="4:9" x14ac:dyDescent="0.25">
      <c r="E28" s="5" t="s">
        <v>63</v>
      </c>
      <c r="F28" s="5">
        <v>7.0720554476027919</v>
      </c>
      <c r="H28" s="8" t="s">
        <v>76</v>
      </c>
      <c r="I28" s="8"/>
    </row>
    <row r="29" spans="4:9" x14ac:dyDescent="0.25">
      <c r="E29" s="5" t="s">
        <v>64</v>
      </c>
      <c r="F29" s="5">
        <v>250</v>
      </c>
      <c r="H29" s="5" t="s">
        <v>77</v>
      </c>
      <c r="I29" s="5">
        <v>0.94653756027496283</v>
      </c>
    </row>
    <row r="30" spans="4:9" x14ac:dyDescent="0.25">
      <c r="E30" s="5" t="s">
        <v>65</v>
      </c>
      <c r="F30" s="5">
        <v>265</v>
      </c>
      <c r="H30" s="5" t="s">
        <v>78</v>
      </c>
      <c r="I30" s="5">
        <v>0.89593335301127885</v>
      </c>
    </row>
    <row r="31" spans="4:9" x14ac:dyDescent="0.25">
      <c r="E31" s="5" t="s">
        <v>66</v>
      </c>
      <c r="F31" s="5">
        <v>27.389952972021053</v>
      </c>
      <c r="H31" s="5" t="s">
        <v>79</v>
      </c>
      <c r="I31" s="5">
        <v>0.8879282263198387</v>
      </c>
    </row>
    <row r="32" spans="4:9" x14ac:dyDescent="0.25">
      <c r="E32" s="5" t="s">
        <v>67</v>
      </c>
      <c r="F32" s="5">
        <v>750.20952380952497</v>
      </c>
      <c r="H32" s="5" t="s">
        <v>63</v>
      </c>
      <c r="I32" s="5">
        <v>3.8810367664599199</v>
      </c>
    </row>
    <row r="33" spans="5:16" ht="15.75" thickBot="1" x14ac:dyDescent="0.3">
      <c r="E33" s="5" t="s">
        <v>68</v>
      </c>
      <c r="F33" s="5">
        <v>0.52633228543390054</v>
      </c>
      <c r="H33" s="6" t="s">
        <v>80</v>
      </c>
      <c r="I33" s="6">
        <v>15</v>
      </c>
    </row>
    <row r="34" spans="5:16" x14ac:dyDescent="0.25">
      <c r="E34" s="5" t="s">
        <v>69</v>
      </c>
      <c r="F34" s="5">
        <v>-0.89976033863020211</v>
      </c>
    </row>
    <row r="35" spans="5:16" ht="15.75" thickBot="1" x14ac:dyDescent="0.3">
      <c r="E35" s="5" t="s">
        <v>70</v>
      </c>
      <c r="F35" s="5">
        <v>98</v>
      </c>
      <c r="H35" t="s">
        <v>81</v>
      </c>
    </row>
    <row r="36" spans="5:16" x14ac:dyDescent="0.25">
      <c r="E36" s="5" t="s">
        <v>71</v>
      </c>
      <c r="F36" s="5">
        <v>182</v>
      </c>
      <c r="H36" s="7"/>
      <c r="I36" s="7" t="s">
        <v>86</v>
      </c>
      <c r="J36" s="7" t="s">
        <v>87</v>
      </c>
      <c r="K36" s="7" t="s">
        <v>88</v>
      </c>
      <c r="L36" s="7" t="s">
        <v>89</v>
      </c>
      <c r="M36" s="7" t="s">
        <v>90</v>
      </c>
    </row>
    <row r="37" spans="5:16" x14ac:dyDescent="0.25">
      <c r="E37" s="5" t="s">
        <v>72</v>
      </c>
      <c r="F37" s="5">
        <v>280</v>
      </c>
      <c r="H37" s="5" t="s">
        <v>82</v>
      </c>
      <c r="I37" s="5">
        <v>1</v>
      </c>
      <c r="J37" s="5">
        <v>1685.7881970260223</v>
      </c>
      <c r="K37" s="5">
        <v>1685.7881970260223</v>
      </c>
      <c r="L37" s="5">
        <v>111.9199467472893</v>
      </c>
      <c r="M37" s="5">
        <v>9.3261708125103396E-8</v>
      </c>
    </row>
    <row r="38" spans="5:16" x14ac:dyDescent="0.25">
      <c r="E38" s="5" t="s">
        <v>73</v>
      </c>
      <c r="F38" s="5">
        <v>3679</v>
      </c>
      <c r="H38" s="5" t="s">
        <v>83</v>
      </c>
      <c r="I38" s="5">
        <v>13</v>
      </c>
      <c r="J38" s="5">
        <v>195.81180297397771</v>
      </c>
      <c r="K38" s="5">
        <v>15.06244638261367</v>
      </c>
      <c r="L38" s="5"/>
      <c r="M38" s="5"/>
    </row>
    <row r="39" spans="5:16" ht="15.75" thickBot="1" x14ac:dyDescent="0.3">
      <c r="E39" s="6" t="s">
        <v>74</v>
      </c>
      <c r="F39" s="6">
        <v>15</v>
      </c>
      <c r="H39" s="6" t="s">
        <v>84</v>
      </c>
      <c r="I39" s="6">
        <v>14</v>
      </c>
      <c r="J39" s="6">
        <v>1881.6</v>
      </c>
      <c r="K39" s="6"/>
      <c r="L39" s="6"/>
      <c r="M39" s="6"/>
    </row>
    <row r="40" spans="5:16" ht="15.75" thickBot="1" x14ac:dyDescent="0.3"/>
    <row r="41" spans="5:16" x14ac:dyDescent="0.25">
      <c r="H41" s="7"/>
      <c r="I41" s="7" t="s">
        <v>91</v>
      </c>
      <c r="J41" s="7" t="s">
        <v>63</v>
      </c>
      <c r="K41" s="7" t="s">
        <v>92</v>
      </c>
      <c r="L41" s="7" t="s">
        <v>93</v>
      </c>
      <c r="M41" s="7" t="s">
        <v>94</v>
      </c>
      <c r="N41" s="7" t="s">
        <v>95</v>
      </c>
      <c r="O41" s="7" t="s">
        <v>96</v>
      </c>
      <c r="P41" s="7" t="s">
        <v>97</v>
      </c>
    </row>
    <row r="42" spans="5:16" x14ac:dyDescent="0.25">
      <c r="H42" s="5" t="s">
        <v>85</v>
      </c>
      <c r="I42" s="5">
        <v>-102.08039033457251</v>
      </c>
      <c r="J42" s="5">
        <v>17.202533047050721</v>
      </c>
      <c r="K42" s="5">
        <v>-5.9340325087806551</v>
      </c>
      <c r="L42" s="5">
        <v>4.9518159116384513E-5</v>
      </c>
      <c r="M42" s="5">
        <v>-139.24420354118627</v>
      </c>
      <c r="N42" s="5">
        <v>-64.91657712795876</v>
      </c>
      <c r="O42" s="5">
        <v>-139.24420354118627</v>
      </c>
      <c r="P42" s="5">
        <v>-64.91657712795876</v>
      </c>
    </row>
    <row r="43" spans="5:16" ht="15.75" thickBot="1" x14ac:dyDescent="0.3">
      <c r="H43" s="6" t="s">
        <v>98</v>
      </c>
      <c r="I43" s="6">
        <v>1.9790892193308554</v>
      </c>
      <c r="J43" s="6">
        <v>0.1870732217453282</v>
      </c>
      <c r="K43" s="6">
        <v>10.579222407497129</v>
      </c>
      <c r="L43" s="6">
        <v>9.3261708125103052E-8</v>
      </c>
      <c r="M43" s="6">
        <v>1.5749420946087347</v>
      </c>
      <c r="N43" s="6">
        <v>2.383236344052976</v>
      </c>
      <c r="O43" s="6">
        <v>1.5749420946087347</v>
      </c>
      <c r="P43" s="6">
        <v>2.383236344052976</v>
      </c>
    </row>
  </sheetData>
  <pageMargins left="0.7" right="0.7" top="0.75" bottom="0.75" header="0.3" footer="0.3"/>
  <pageSetup orientation="portrait" r:id="rId1"/>
  <ignoredErrors>
    <ignoredError sqref="G20" evalError="1"/>
    <ignoredError sqref="D2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23691A32D4</dc:creator>
  <cp:lastModifiedBy>23691A32D4@mits.com</cp:lastModifiedBy>
  <dcterms:created xsi:type="dcterms:W3CDTF">2026-05-26T08:33:42Z</dcterms:created>
  <dcterms:modified xsi:type="dcterms:W3CDTF">2026-05-26T10:19:08Z</dcterms:modified>
</cp:coreProperties>
</file>